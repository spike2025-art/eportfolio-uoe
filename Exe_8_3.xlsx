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Owner\Documents\Essex\Module 6\Unit 8\Charts\"/>
    </mc:Choice>
  </mc:AlternateContent>
  <xr:revisionPtr revIDLastSave="0" documentId="13_ncr:1_{20A3AE4A-B3EE-4C14-832A-844BF49996B8}" xr6:coauthVersionLast="47" xr6:coauthVersionMax="47" xr10:uidLastSave="{00000000-0000-0000-0000-000000000000}"/>
  <bookViews>
    <workbookView xWindow="28680" yWindow="-120" windowWidth="29040" windowHeight="15720" xr2:uid="{00000000-000D-0000-FFFF-FFFF00000000}"/>
  </bookViews>
  <sheets>
    <sheet name="Diets"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2" i="1" l="1"/>
  <c r="T4" i="1" a="1"/>
  <c r="T4" i="1" s="1"/>
  <c r="Q3" i="1"/>
  <c r="Q8" i="1"/>
  <c r="Q9" i="1" s="1"/>
  <c r="Q7" i="1"/>
  <c r="Q5" i="1"/>
  <c r="Q4" i="1"/>
  <c r="L5" i="1"/>
  <c r="L6" i="1"/>
  <c r="L7" i="1"/>
  <c r="L8" i="1"/>
  <c r="L9" i="1"/>
  <c r="L10" i="1"/>
  <c r="L4" i="1"/>
  <c r="I12" i="1"/>
  <c r="I4" i="1" a="1"/>
  <c r="I4" i="1" s="1"/>
  <c r="F9" i="1"/>
  <c r="F8" i="1"/>
  <c r="F7" i="1"/>
  <c r="F5" i="1"/>
  <c r="F3" i="1"/>
  <c r="F4" i="1"/>
  <c r="W10" i="1" l="1"/>
  <c r="W4" i="1"/>
  <c r="W9" i="1"/>
  <c r="W6" i="1"/>
  <c r="W7" i="1"/>
  <c r="W11" i="1"/>
  <c r="W8" i="1"/>
  <c r="W5"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<sst xmlns="http://schemas.openxmlformats.org/spreadsheetml/2006/main" count="131" uniqueCount="19">
  <si>
    <t>Diet</t>
  </si>
  <si>
    <t>Wtloss</t>
  </si>
  <si>
    <t>A</t>
  </si>
  <si>
    <t>B</t>
  </si>
  <si>
    <t>Diet A</t>
  </si>
  <si>
    <t>n</t>
  </si>
  <si>
    <t>Mean</t>
  </si>
  <si>
    <t>SD</t>
  </si>
  <si>
    <t>Range</t>
  </si>
  <si>
    <t>Min</t>
  </si>
  <si>
    <t>Max</t>
  </si>
  <si>
    <t xml:space="preserve"> </t>
  </si>
  <si>
    <t>UCB</t>
  </si>
  <si>
    <t>Class</t>
  </si>
  <si>
    <t>Mark</t>
  </si>
  <si>
    <t>Relative</t>
  </si>
  <si>
    <t>Frequency</t>
  </si>
  <si>
    <t>Diet B</t>
  </si>
  <si>
    <r>
      <rPr>
        <b/>
        <sz val="10"/>
        <rFont val="Arial"/>
        <family val="2"/>
      </rPr>
      <t xml:space="preserve">
Diet A shows superior and more consistent weight loss results:</t>
    </r>
    <r>
      <rPr>
        <sz val="10"/>
        <rFont val="Arial"/>
        <family val="2"/>
      </rPr>
      <t xml:space="preserve">
•	Higher average weight loss (mean = 5.3 kg vs 3.7 kg for Diet B)
•	More consistent outcomes (SD = 2.5 kg vs 2.8 kg)
•	Distribution is approximately symmetric and bell-shaped, centered around 5-7 kg
•	Nearly all participants lost weight (minimum = -1.7 kg, only one participant)
•	Results cluster tightly around the mean, suggesting predictable outcomes
</t>
    </r>
    <r>
      <rPr>
        <b/>
        <sz val="10"/>
        <rFont val="Arial"/>
        <family val="2"/>
      </rPr>
      <t>Diet B demonstrates lower effectiveness with greater variability</t>
    </r>
    <r>
      <rPr>
        <sz val="10"/>
        <rFont val="Arial"/>
        <family val="2"/>
      </rPr>
      <t xml:space="preserve">:
•	Lower average weight loss (mean = 3.7 kg)
•	Higher variability in outcomes (SD = 2.8 kg)
•	Distribution shows more spread with a slight right skew
•	More participants experienced minimal or no weight loss
•	Some participants actually gained weight (minimum = -4.1 kg)
•	Peak frequency around 2 kg, indicating many achieved only modest results
</t>
    </r>
    <r>
      <rPr>
        <b/>
        <sz val="10"/>
        <rFont val="Arial"/>
        <family val="2"/>
      </rPr>
      <t>Interpretation</t>
    </r>
    <r>
      <rPr>
        <sz val="10"/>
        <rFont val="Arial"/>
        <family val="2"/>
      </rPr>
      <t xml:space="preserve">:
</t>
    </r>
    <r>
      <rPr>
        <b/>
        <sz val="10"/>
        <rFont val="Arial"/>
        <family val="2"/>
      </rPr>
      <t xml:space="preserve">Diet A appears to be the more effective intervention, delivering consistently higher weight loss across participants. The tighter distribution suggests it works reliably for most people following the program.
</t>
    </r>
    <r>
      <rPr>
        <sz val="10"/>
        <rFont val="Arial"/>
        <family val="2"/>
      </rPr>
      <t xml:space="preserve">
</t>
    </r>
    <r>
      <rPr>
        <b/>
        <sz val="10"/>
        <rFont val="Arial"/>
        <family val="2"/>
      </rPr>
      <t xml:space="preserve">Diet B, while still producing some good results (maximum 10.5 kg), is less predictable. The greater variability and lower mean suggest it may be more dependent on individual factors like adherence, metabolism, or lifestyle variables. The presence of weight gain indicates it doesn't work for everyone.
</t>
    </r>
    <r>
      <rPr>
        <sz val="10"/>
        <rFont val="Arial"/>
        <family val="2"/>
      </rPr>
      <t xml:space="preserve">
</t>
    </r>
    <r>
      <rPr>
        <b/>
        <sz val="10"/>
        <rFont val="Arial"/>
        <family val="2"/>
      </rPr>
      <t xml:space="preserve">For practical application, Diet A would likely be the preferred recommendation due to its superior average results and consistency.
</t>
    </r>
    <r>
      <rPr>
        <sz val="1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</si>
</sst>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0"/>
      <name val="Arial"/>
    </font>
    <font>
      <b/>
      <sz val="10"/>
      <name val="MS Sans Serif"/>
      <family val="2"/>
    </font>
    <font>
      <sz val="8"/>
      <name val="Arial"/>
      <family val="2"/>
    </font>
    <font>
      <b/>
      <sz val="10"/>
      <name val="Arial"/>
      <family val="2"/>
    </font>
    <font>
      <sz val="10"/>
      <name val="Arial"/>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quotePrefix="1" applyFont="1" applyAlignment="1">
      <alignment horizontal="center"/>
    </xf>
    <xf numFmtId="0" fontId="0" fillId="0" borderId="0" xfId="0" quotePrefix="1" applyAlignment="1">
      <alignment horizontal="center"/>
    </xf>
    <xf numFmtId="164" fontId="0" fillId="0" borderId="0" xfId="0" quotePrefix="1" applyNumberFormat="1" applyAlignment="1">
      <alignment horizontal="center"/>
    </xf>
    <xf numFmtId="0" fontId="3" fillId="0" borderId="0" xfId="0" applyFont="1" applyAlignment="1">
      <alignment horizontal="center"/>
    </xf>
    <xf numFmtId="0" fontId="0" fillId="0" borderId="0" xfId="0" applyAlignment="1">
      <alignment horizontal="center"/>
    </xf>
    <xf numFmtId="164" fontId="0" fillId="0" borderId="0" xfId="0" applyNumberFormat="1" applyAlignment="1">
      <alignment horizontal="center"/>
    </xf>
    <xf numFmtId="0" fontId="4" fillId="0" borderId="0" xfId="0" applyFont="1"/>
    <xf numFmtId="0" fontId="4" fillId="0" borderId="0" xfId="0" applyFont="1" applyAlignment="1">
      <alignment horizontal="left"/>
    </xf>
    <xf numFmtId="164" fontId="4" fillId="0" borderId="0" xfId="0" applyNumberFormat="1" applyFont="1" applyAlignment="1">
      <alignment horizontal="left"/>
    </xf>
    <xf numFmtId="2" fontId="0" fillId="0" borderId="0" xfId="0" applyNumberFormat="1"/>
    <xf numFmtId="0" fontId="4" fillId="2"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Diet 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numRef>
              <c:f>Diets!$K$4:$K$10</c:f>
              <c:numCache>
                <c:formatCode>General</c:formatCode>
                <c:ptCount val="7"/>
                <c:pt idx="0">
                  <c:v>-1</c:v>
                </c:pt>
                <c:pt idx="1">
                  <c:v>1</c:v>
                </c:pt>
                <c:pt idx="2">
                  <c:v>3</c:v>
                </c:pt>
                <c:pt idx="3">
                  <c:v>5</c:v>
                </c:pt>
                <c:pt idx="4">
                  <c:v>7</c:v>
                </c:pt>
                <c:pt idx="5">
                  <c:v>9</c:v>
                </c:pt>
                <c:pt idx="6">
                  <c:v>11</c:v>
                </c:pt>
              </c:numCache>
            </c:numRef>
          </c:cat>
          <c:val>
            <c:numRef>
              <c:f>Diets!$L$4:$L$10</c:f>
              <c:numCache>
                <c:formatCode>General</c:formatCode>
                <c:ptCount val="7"/>
                <c:pt idx="0">
                  <c:v>0.02</c:v>
                </c:pt>
                <c:pt idx="1">
                  <c:v>0.06</c:v>
                </c:pt>
                <c:pt idx="2">
                  <c:v>0.2</c:v>
                </c:pt>
                <c:pt idx="3">
                  <c:v>0.3</c:v>
                </c:pt>
                <c:pt idx="4">
                  <c:v>0.3</c:v>
                </c:pt>
                <c:pt idx="5">
                  <c:v>0.1</c:v>
                </c:pt>
                <c:pt idx="6">
                  <c:v>0.02</c:v>
                </c:pt>
              </c:numCache>
            </c:numRef>
          </c:val>
          <c:extLst>
            <c:ext xmlns:c16="http://schemas.microsoft.com/office/drawing/2014/chart" uri="{C3380CC4-5D6E-409C-BE32-E72D297353CC}">
              <c16:uniqueId val="{00000000-E620-4D15-9102-0626767F75CB}"/>
            </c:ext>
          </c:extLst>
        </c:ser>
        <c:dLbls>
          <c:showLegendKey val="0"/>
          <c:showVal val="0"/>
          <c:showCatName val="0"/>
          <c:showSerName val="0"/>
          <c:showPercent val="0"/>
          <c:showBubbleSize val="0"/>
        </c:dLbls>
        <c:gapWidth val="100"/>
        <c:overlap val="-24"/>
        <c:axId val="1222240608"/>
        <c:axId val="1222239168"/>
      </c:barChart>
      <c:catAx>
        <c:axId val="122224060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Weight Loss (kg)</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2239168"/>
        <c:crosses val="autoZero"/>
        <c:auto val="1"/>
        <c:lblAlgn val="ctr"/>
        <c:lblOffset val="100"/>
        <c:noMultiLvlLbl val="0"/>
      </c:catAx>
      <c:valAx>
        <c:axId val="122223916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Relative Frequency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224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Diet B</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numRef>
              <c:f>Diets!$V$4:$V$10</c:f>
              <c:numCache>
                <c:formatCode>General</c:formatCode>
                <c:ptCount val="7"/>
                <c:pt idx="0">
                  <c:v>-4</c:v>
                </c:pt>
                <c:pt idx="1">
                  <c:v>0</c:v>
                </c:pt>
                <c:pt idx="2">
                  <c:v>2</c:v>
                </c:pt>
                <c:pt idx="3">
                  <c:v>4</c:v>
                </c:pt>
                <c:pt idx="4">
                  <c:v>6</c:v>
                </c:pt>
                <c:pt idx="5">
                  <c:v>8</c:v>
                </c:pt>
                <c:pt idx="6">
                  <c:v>10</c:v>
                </c:pt>
              </c:numCache>
            </c:numRef>
          </c:cat>
          <c:val>
            <c:numRef>
              <c:f>Diets!$W$4:$W$10</c:f>
              <c:numCache>
                <c:formatCode>General</c:formatCode>
                <c:ptCount val="7"/>
                <c:pt idx="0">
                  <c:v>0.06</c:v>
                </c:pt>
                <c:pt idx="1">
                  <c:v>0.2</c:v>
                </c:pt>
                <c:pt idx="2">
                  <c:v>0.3</c:v>
                </c:pt>
                <c:pt idx="3">
                  <c:v>0.22</c:v>
                </c:pt>
                <c:pt idx="4">
                  <c:v>0.16</c:v>
                </c:pt>
                <c:pt idx="5">
                  <c:v>0.04</c:v>
                </c:pt>
                <c:pt idx="6">
                  <c:v>0.02</c:v>
                </c:pt>
              </c:numCache>
            </c:numRef>
          </c:val>
          <c:extLst>
            <c:ext xmlns:c16="http://schemas.microsoft.com/office/drawing/2014/chart" uri="{C3380CC4-5D6E-409C-BE32-E72D297353CC}">
              <c16:uniqueId val="{00000000-2080-485F-8B8F-74BF34360455}"/>
            </c:ext>
          </c:extLst>
        </c:ser>
        <c:dLbls>
          <c:showLegendKey val="0"/>
          <c:showVal val="0"/>
          <c:showCatName val="0"/>
          <c:showSerName val="0"/>
          <c:showPercent val="0"/>
          <c:showBubbleSize val="0"/>
        </c:dLbls>
        <c:gapWidth val="100"/>
        <c:overlap val="-24"/>
        <c:axId val="892682976"/>
        <c:axId val="892684416"/>
      </c:barChart>
      <c:catAx>
        <c:axId val="8926829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Weight Loss (kg)</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2684416"/>
        <c:crosses val="autoZero"/>
        <c:auto val="1"/>
        <c:lblAlgn val="ctr"/>
        <c:lblOffset val="100"/>
        <c:noMultiLvlLbl val="0"/>
      </c:catAx>
      <c:valAx>
        <c:axId val="89268441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Relative Frequency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268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9525</xdr:colOff>
      <xdr:row>11</xdr:row>
      <xdr:rowOff>167640</xdr:rowOff>
    </xdr:from>
    <xdr:to>
      <xdr:col>11</xdr:col>
      <xdr:colOff>38100</xdr:colOff>
      <xdr:row>35</xdr:row>
      <xdr:rowOff>19050</xdr:rowOff>
    </xdr:to>
    <xdr:graphicFrame macro="">
      <xdr:nvGraphicFramePr>
        <xdr:cNvPr id="4" name="Chart 3">
          <a:extLst>
            <a:ext uri="{FF2B5EF4-FFF2-40B4-BE49-F238E27FC236}">
              <a16:creationId xmlns:a16="http://schemas.microsoft.com/office/drawing/2014/main" id="{9E903318-FA76-C224-912B-542BF3304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592455</xdr:colOff>
      <xdr:row>12</xdr:row>
      <xdr:rowOff>19050</xdr:rowOff>
    </xdr:from>
    <xdr:to>
      <xdr:col>22</xdr:col>
      <xdr:colOff>11430</xdr:colOff>
      <xdr:row>35</xdr:row>
      <xdr:rowOff>0</xdr:rowOff>
    </xdr:to>
    <xdr:graphicFrame macro="">
      <xdr:nvGraphicFramePr>
        <xdr:cNvPr id="5" name="Chart 4">
          <a:extLst>
            <a:ext uri="{FF2B5EF4-FFF2-40B4-BE49-F238E27FC236}">
              <a16:creationId xmlns:a16="http://schemas.microsoft.com/office/drawing/2014/main" id="{2AE8AFC7-7F8C-3619-5117-F131970D45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1"/>
  <sheetViews>
    <sheetView tabSelected="1" topLeftCell="I17" workbookViewId="0">
      <selection activeCell="X36" sqref="X36"/>
    </sheetView>
  </sheetViews>
  <sheetFormatPr defaultRowHeight="13.2" x14ac:dyDescent="0.25"/>
  <cols>
    <col min="9" max="9" width="10.6640625" customWidth="1"/>
    <col min="12" max="12" width="10.6640625" customWidth="1"/>
    <col min="23" max="23" width="10.21875" bestFit="1" customWidth="1"/>
    <col min="24" max="24" width="118.6640625" customWidth="1"/>
  </cols>
  <sheetData>
    <row r="1" spans="1:23" x14ac:dyDescent="0.25">
      <c r="A1" s="1" t="s">
        <v>0</v>
      </c>
      <c r="B1" s="1" t="s">
        <v>1</v>
      </c>
    </row>
    <row r="2" spans="1:23" x14ac:dyDescent="0.25">
      <c r="A2" s="2" t="s">
        <v>2</v>
      </c>
      <c r="B2" s="3">
        <v>3.7090000000000001</v>
      </c>
      <c r="K2" s="4" t="s">
        <v>13</v>
      </c>
      <c r="L2" s="4" t="s">
        <v>15</v>
      </c>
      <c r="V2" s="4" t="s">
        <v>13</v>
      </c>
      <c r="W2" s="4" t="s">
        <v>15</v>
      </c>
    </row>
    <row r="3" spans="1:23" x14ac:dyDescent="0.25">
      <c r="A3" s="2" t="s">
        <v>2</v>
      </c>
      <c r="B3" s="3">
        <v>7.0869999999999997</v>
      </c>
      <c r="D3" s="4" t="s">
        <v>4</v>
      </c>
      <c r="E3" s="4" t="s">
        <v>5</v>
      </c>
      <c r="F3" s="5">
        <f>COUNT(B2:B51)</f>
        <v>50</v>
      </c>
      <c r="H3" s="4" t="s">
        <v>12</v>
      </c>
      <c r="I3" s="4" t="s">
        <v>16</v>
      </c>
      <c r="K3" s="4" t="s">
        <v>14</v>
      </c>
      <c r="L3" s="4" t="s">
        <v>16</v>
      </c>
      <c r="O3" s="4" t="s">
        <v>17</v>
      </c>
      <c r="P3" s="4" t="s">
        <v>5</v>
      </c>
      <c r="Q3" s="5">
        <f>COUNT(B52:B101)</f>
        <v>50</v>
      </c>
      <c r="S3" s="4" t="s">
        <v>12</v>
      </c>
      <c r="T3" s="4" t="s">
        <v>16</v>
      </c>
      <c r="V3" s="4" t="s">
        <v>14</v>
      </c>
      <c r="W3" s="4" t="s">
        <v>16</v>
      </c>
    </row>
    <row r="4" spans="1:23" x14ac:dyDescent="0.25">
      <c r="A4" s="2" t="s">
        <v>2</v>
      </c>
      <c r="B4" s="3">
        <v>6.7539999999999996</v>
      </c>
      <c r="E4" s="4" t="s">
        <v>6</v>
      </c>
      <c r="F4" s="6">
        <f>AVERAGE(B2:B51)</f>
        <v>5.3411999999999988</v>
      </c>
      <c r="H4">
        <v>0</v>
      </c>
      <c r="I4" cm="1">
        <f t="array" ref="I4:I11">FREQUENCY(B2:B51,H4:H10)</f>
        <v>1</v>
      </c>
      <c r="K4">
        <v>-1</v>
      </c>
      <c r="L4">
        <f>I4/I$12</f>
        <v>0.02</v>
      </c>
      <c r="P4" s="4" t="s">
        <v>6</v>
      </c>
      <c r="Q4" s="6">
        <f>AVERAGE(B52:B101)</f>
        <v>3.709960000000001</v>
      </c>
      <c r="S4">
        <v>0</v>
      </c>
      <c r="T4" cm="1">
        <f t="array" ref="T4:T11">FREQUENCY(B52:B101,S4:S12)</f>
        <v>3</v>
      </c>
      <c r="V4">
        <v>-4</v>
      </c>
      <c r="W4">
        <f>T4/T$12</f>
        <v>0.06</v>
      </c>
    </row>
    <row r="5" spans="1:23" x14ac:dyDescent="0.25">
      <c r="A5" s="2" t="s">
        <v>2</v>
      </c>
      <c r="B5" s="3">
        <v>8.9939999999999998</v>
      </c>
      <c r="E5" s="4" t="s">
        <v>7</v>
      </c>
      <c r="F5" s="6">
        <f>STDEV(B2:B51)</f>
        <v>2.5356026132351492</v>
      </c>
      <c r="H5">
        <v>2</v>
      </c>
      <c r="I5">
        <v>3</v>
      </c>
      <c r="K5">
        <v>1</v>
      </c>
      <c r="L5">
        <f t="shared" ref="L5:L10" si="0">I5/I$12</f>
        <v>0.06</v>
      </c>
      <c r="P5" s="4" t="s">
        <v>7</v>
      </c>
      <c r="Q5" s="6">
        <f>STDEV(B52:B101)</f>
        <v>2.7690419986349206</v>
      </c>
      <c r="S5">
        <v>2</v>
      </c>
      <c r="T5">
        <v>10</v>
      </c>
      <c r="V5">
        <v>0</v>
      </c>
      <c r="W5">
        <f>T5/T$12</f>
        <v>0.2</v>
      </c>
    </row>
    <row r="6" spans="1:23" x14ac:dyDescent="0.25">
      <c r="A6" s="2" t="s">
        <v>2</v>
      </c>
      <c r="B6" s="3">
        <v>9.077</v>
      </c>
      <c r="F6" t="s">
        <v>11</v>
      </c>
      <c r="H6">
        <v>4</v>
      </c>
      <c r="I6">
        <v>10</v>
      </c>
      <c r="K6">
        <v>3</v>
      </c>
      <c r="L6">
        <f t="shared" si="0"/>
        <v>0.2</v>
      </c>
      <c r="Q6" t="s">
        <v>11</v>
      </c>
      <c r="S6">
        <v>4</v>
      </c>
      <c r="T6">
        <v>15</v>
      </c>
      <c r="V6">
        <v>2</v>
      </c>
      <c r="W6">
        <f>T6/T$12</f>
        <v>0.3</v>
      </c>
    </row>
    <row r="7" spans="1:23" x14ac:dyDescent="0.25">
      <c r="A7" s="2" t="s">
        <v>2</v>
      </c>
      <c r="B7" s="3">
        <v>6.4130000000000003</v>
      </c>
      <c r="E7" s="4" t="s">
        <v>9</v>
      </c>
      <c r="F7" s="6">
        <f>MIN(B2:B51)</f>
        <v>-1.7150000000000001</v>
      </c>
      <c r="H7">
        <v>6</v>
      </c>
      <c r="I7">
        <v>15</v>
      </c>
      <c r="K7">
        <v>5</v>
      </c>
      <c r="L7">
        <f t="shared" si="0"/>
        <v>0.3</v>
      </c>
      <c r="P7" s="4" t="s">
        <v>9</v>
      </c>
      <c r="Q7" s="6">
        <f>MIN(B52:B101)</f>
        <v>-4.1479999999999997</v>
      </c>
      <c r="S7">
        <v>6</v>
      </c>
      <c r="T7">
        <v>11</v>
      </c>
      <c r="V7">
        <v>4</v>
      </c>
      <c r="W7">
        <f>T7/T$12</f>
        <v>0.22</v>
      </c>
    </row>
    <row r="8" spans="1:23" x14ac:dyDescent="0.25">
      <c r="A8" s="2" t="s">
        <v>2</v>
      </c>
      <c r="B8" s="3">
        <v>5.8769999999999998</v>
      </c>
      <c r="E8" s="4" t="s">
        <v>10</v>
      </c>
      <c r="F8" s="6">
        <f>MAX(B2:B51)</f>
        <v>10.061999999999999</v>
      </c>
      <c r="H8">
        <v>8</v>
      </c>
      <c r="I8">
        <v>15</v>
      </c>
      <c r="K8">
        <v>7</v>
      </c>
      <c r="L8">
        <f t="shared" si="0"/>
        <v>0.3</v>
      </c>
      <c r="P8" s="4" t="s">
        <v>10</v>
      </c>
      <c r="Q8" s="6">
        <f>MAX(B52:B101)</f>
        <v>10.539</v>
      </c>
      <c r="S8">
        <v>8</v>
      </c>
      <c r="T8">
        <v>8</v>
      </c>
      <c r="V8">
        <v>6</v>
      </c>
      <c r="W8">
        <f>T8/T$12</f>
        <v>0.16</v>
      </c>
    </row>
    <row r="9" spans="1:23" x14ac:dyDescent="0.25">
      <c r="A9" s="2" t="s">
        <v>2</v>
      </c>
      <c r="B9" s="3">
        <v>2.5720000000000001</v>
      </c>
      <c r="E9" s="4" t="s">
        <v>8</v>
      </c>
      <c r="F9" s="6">
        <f>F8-F7</f>
        <v>11.776999999999999</v>
      </c>
      <c r="H9">
        <v>10</v>
      </c>
      <c r="I9">
        <v>5</v>
      </c>
      <c r="K9">
        <v>9</v>
      </c>
      <c r="L9">
        <f t="shared" si="0"/>
        <v>0.1</v>
      </c>
      <c r="P9" s="4" t="s">
        <v>8</v>
      </c>
      <c r="Q9" s="6">
        <f>Q8-Q7</f>
        <v>14.686999999999999</v>
      </c>
      <c r="S9">
        <v>10</v>
      </c>
      <c r="T9">
        <v>2</v>
      </c>
      <c r="V9">
        <v>8</v>
      </c>
      <c r="W9">
        <f>T9/T$12</f>
        <v>0.04</v>
      </c>
    </row>
    <row r="10" spans="1:23" x14ac:dyDescent="0.25">
      <c r="A10" s="2" t="s">
        <v>2</v>
      </c>
      <c r="B10" s="3">
        <v>7.52</v>
      </c>
      <c r="H10">
        <v>12</v>
      </c>
      <c r="I10">
        <v>1</v>
      </c>
      <c r="K10">
        <v>11</v>
      </c>
      <c r="L10">
        <f t="shared" si="0"/>
        <v>0.02</v>
      </c>
      <c r="S10">
        <v>12</v>
      </c>
      <c r="T10">
        <v>1</v>
      </c>
      <c r="V10">
        <v>10</v>
      </c>
      <c r="W10">
        <f>T10/T$12</f>
        <v>0.02</v>
      </c>
    </row>
    <row r="11" spans="1:23" x14ac:dyDescent="0.25">
      <c r="A11" s="2" t="s">
        <v>2</v>
      </c>
      <c r="B11" s="3">
        <v>6.8810000000000002</v>
      </c>
      <c r="I11">
        <v>0</v>
      </c>
      <c r="T11">
        <v>0</v>
      </c>
      <c r="V11">
        <v>12</v>
      </c>
      <c r="W11" s="10">
        <f>T11/T$12</f>
        <v>0</v>
      </c>
    </row>
    <row r="12" spans="1:23" x14ac:dyDescent="0.25">
      <c r="A12" s="2" t="s">
        <v>2</v>
      </c>
      <c r="B12" s="3">
        <v>7.2649999999999997</v>
      </c>
      <c r="I12">
        <f>SUM(_xlfn.ANCHORARRAY(I4))</f>
        <v>50</v>
      </c>
      <c r="T12">
        <f>SUM(T4:T10)</f>
        <v>50</v>
      </c>
    </row>
    <row r="13" spans="1:23" x14ac:dyDescent="0.25">
      <c r="A13" s="2" t="s">
        <v>2</v>
      </c>
      <c r="B13" s="3">
        <v>3.4769999999999999</v>
      </c>
    </row>
    <row r="14" spans="1:23" x14ac:dyDescent="0.25">
      <c r="A14" s="2" t="s">
        <v>2</v>
      </c>
      <c r="B14" s="3">
        <v>3.7549999999999999</v>
      </c>
    </row>
    <row r="15" spans="1:23" x14ac:dyDescent="0.25">
      <c r="A15" s="2" t="s">
        <v>2</v>
      </c>
      <c r="B15" s="3">
        <v>8.76</v>
      </c>
    </row>
    <row r="16" spans="1:23" x14ac:dyDescent="0.25">
      <c r="A16" s="2" t="s">
        <v>2</v>
      </c>
      <c r="B16" s="3">
        <v>7.032</v>
      </c>
      <c r="C16" s="7"/>
      <c r="D16" s="7"/>
      <c r="E16" s="7"/>
      <c r="F16" s="7"/>
      <c r="G16" s="7"/>
      <c r="H16" s="7"/>
      <c r="I16" s="7"/>
    </row>
    <row r="17" spans="1:9" x14ac:dyDescent="0.25">
      <c r="A17" s="2" t="s">
        <v>2</v>
      </c>
      <c r="B17" s="3">
        <v>9.0519999999999996</v>
      </c>
      <c r="C17" s="7"/>
      <c r="D17" s="7"/>
      <c r="E17" s="7"/>
      <c r="F17" s="7"/>
      <c r="G17" s="7"/>
      <c r="H17" s="7"/>
      <c r="I17" s="7"/>
    </row>
    <row r="18" spans="1:9" x14ac:dyDescent="0.25">
      <c r="A18" s="2" t="s">
        <v>2</v>
      </c>
      <c r="B18" s="3">
        <v>10.061999999999999</v>
      </c>
      <c r="C18" s="7"/>
      <c r="D18" s="7"/>
      <c r="E18" s="7"/>
      <c r="F18" s="7"/>
      <c r="G18" s="7"/>
      <c r="H18" s="7"/>
      <c r="I18" s="7"/>
    </row>
    <row r="19" spans="1:9" x14ac:dyDescent="0.25">
      <c r="A19" s="2" t="s">
        <v>2</v>
      </c>
      <c r="B19" s="3">
        <v>4.84</v>
      </c>
      <c r="C19" s="7"/>
      <c r="D19" s="7"/>
      <c r="E19" s="7"/>
      <c r="F19" s="7"/>
      <c r="G19" s="7"/>
      <c r="H19" s="7"/>
      <c r="I19" s="7"/>
    </row>
    <row r="20" spans="1:9" x14ac:dyDescent="0.25">
      <c r="A20" s="2" t="s">
        <v>2</v>
      </c>
      <c r="B20" s="3">
        <v>6.4489999999999998</v>
      </c>
      <c r="C20" s="7"/>
      <c r="D20" s="7"/>
      <c r="E20" s="7"/>
      <c r="F20" s="7"/>
      <c r="G20" s="7"/>
      <c r="H20" s="7"/>
      <c r="I20" s="7"/>
    </row>
    <row r="21" spans="1:9" x14ac:dyDescent="0.25">
      <c r="A21" s="2" t="s">
        <v>2</v>
      </c>
      <c r="B21" s="3">
        <v>9.0190000000000001</v>
      </c>
      <c r="C21" s="7"/>
      <c r="D21" s="7"/>
      <c r="E21" s="7"/>
      <c r="F21" s="7"/>
      <c r="G21" s="7"/>
      <c r="H21" s="7"/>
      <c r="I21" s="7"/>
    </row>
    <row r="22" spans="1:9" x14ac:dyDescent="0.25">
      <c r="A22" s="2" t="s">
        <v>2</v>
      </c>
      <c r="B22" s="3">
        <v>-1.7150000000000001</v>
      </c>
      <c r="C22" s="7"/>
      <c r="D22" s="7"/>
      <c r="E22" s="7"/>
      <c r="F22" s="7"/>
      <c r="G22" s="7"/>
      <c r="H22" s="7"/>
      <c r="I22" s="7"/>
    </row>
    <row r="23" spans="1:9" x14ac:dyDescent="0.25">
      <c r="A23" s="2" t="s">
        <v>2</v>
      </c>
      <c r="B23" s="3">
        <v>4.718</v>
      </c>
      <c r="C23" s="7"/>
      <c r="D23" s="8"/>
      <c r="E23" s="8"/>
      <c r="F23" s="8"/>
      <c r="G23" s="7"/>
      <c r="H23" s="7"/>
      <c r="I23" s="7"/>
    </row>
    <row r="24" spans="1:9" x14ac:dyDescent="0.25">
      <c r="A24" s="2" t="s">
        <v>2</v>
      </c>
      <c r="B24" s="3">
        <v>4.0069999999999997</v>
      </c>
      <c r="C24" s="7"/>
      <c r="D24" s="8"/>
      <c r="E24" s="8"/>
      <c r="F24" s="9"/>
      <c r="G24" s="7"/>
      <c r="H24" s="7"/>
      <c r="I24" s="7"/>
    </row>
    <row r="25" spans="1:9" x14ac:dyDescent="0.25">
      <c r="A25" s="2" t="s">
        <v>2</v>
      </c>
      <c r="B25" s="3">
        <v>7.2409999999999997</v>
      </c>
      <c r="C25" s="7"/>
      <c r="D25" s="8"/>
      <c r="E25" s="8"/>
      <c r="F25" s="9"/>
      <c r="G25" s="7"/>
      <c r="H25" s="7"/>
      <c r="I25" s="7"/>
    </row>
    <row r="26" spans="1:9" x14ac:dyDescent="0.25">
      <c r="A26" s="2" t="s">
        <v>2</v>
      </c>
      <c r="B26" s="3">
        <v>2.1280000000000001</v>
      </c>
      <c r="C26" s="7"/>
      <c r="D26" s="7"/>
      <c r="E26" s="7"/>
      <c r="F26" s="7"/>
      <c r="G26" s="7"/>
      <c r="H26" s="7"/>
      <c r="I26" s="7"/>
    </row>
    <row r="27" spans="1:9" x14ac:dyDescent="0.25">
      <c r="A27" s="2" t="s">
        <v>2</v>
      </c>
      <c r="B27" s="3">
        <v>6.968</v>
      </c>
      <c r="C27" s="7"/>
      <c r="D27" s="7"/>
      <c r="E27" s="7"/>
      <c r="F27" s="7"/>
      <c r="G27" s="7"/>
      <c r="H27" s="7"/>
      <c r="I27" s="7"/>
    </row>
    <row r="28" spans="1:9" x14ac:dyDescent="0.25">
      <c r="A28" s="2" t="s">
        <v>2</v>
      </c>
      <c r="B28" s="3">
        <v>4.8529999999999998</v>
      </c>
      <c r="C28" s="7"/>
      <c r="D28" s="7"/>
      <c r="E28" s="7"/>
      <c r="F28" s="7"/>
      <c r="G28" s="7"/>
      <c r="H28" s="7"/>
      <c r="I28" s="7"/>
    </row>
    <row r="29" spans="1:9" x14ac:dyDescent="0.25">
      <c r="A29" s="2" t="s">
        <v>2</v>
      </c>
      <c r="B29" s="3">
        <v>5.5E-2</v>
      </c>
      <c r="C29" s="7"/>
      <c r="D29" s="7"/>
      <c r="E29" s="7"/>
      <c r="F29" s="7"/>
      <c r="G29" s="7"/>
      <c r="H29" s="7"/>
      <c r="I29" s="7"/>
    </row>
    <row r="30" spans="1:9" x14ac:dyDescent="0.25">
      <c r="A30" s="2" t="s">
        <v>2</v>
      </c>
      <c r="B30" s="3">
        <v>2.68</v>
      </c>
      <c r="C30" s="7"/>
      <c r="D30" s="7"/>
      <c r="E30" s="7"/>
      <c r="F30" s="7"/>
      <c r="G30" s="7"/>
      <c r="H30" s="7"/>
      <c r="I30" s="7"/>
    </row>
    <row r="31" spans="1:9" x14ac:dyDescent="0.25">
      <c r="A31" s="2" t="s">
        <v>2</v>
      </c>
      <c r="B31" s="3">
        <v>3.746</v>
      </c>
      <c r="C31" s="7"/>
      <c r="D31" s="7"/>
      <c r="E31" s="7"/>
      <c r="F31" s="7"/>
      <c r="G31" s="7"/>
      <c r="H31" s="7"/>
      <c r="I31" s="7"/>
    </row>
    <row r="32" spans="1:9" x14ac:dyDescent="0.25">
      <c r="A32" s="2" t="s">
        <v>2</v>
      </c>
      <c r="B32" s="3">
        <v>7.0330000000000004</v>
      </c>
      <c r="C32" s="7"/>
      <c r="D32" s="7"/>
      <c r="E32" s="7"/>
      <c r="F32" s="7"/>
      <c r="G32" s="7"/>
      <c r="H32" s="7"/>
      <c r="I32" s="7"/>
    </row>
    <row r="33" spans="1:24" x14ac:dyDescent="0.25">
      <c r="A33" s="2" t="s">
        <v>2</v>
      </c>
      <c r="B33" s="3">
        <v>5.0330000000000004</v>
      </c>
    </row>
    <row r="34" spans="1:24" x14ac:dyDescent="0.25">
      <c r="A34" s="2" t="s">
        <v>2</v>
      </c>
      <c r="B34" s="3">
        <v>5.569</v>
      </c>
    </row>
    <row r="35" spans="1:24" x14ac:dyDescent="0.25">
      <c r="A35" s="2" t="s">
        <v>2</v>
      </c>
      <c r="B35" s="3">
        <v>6.7119999999999997</v>
      </c>
    </row>
    <row r="36" spans="1:24" ht="343.2" x14ac:dyDescent="0.25">
      <c r="A36" s="2" t="s">
        <v>2</v>
      </c>
      <c r="B36" s="3">
        <v>3.6629999999999998</v>
      </c>
      <c r="X36" s="11" t="s">
        <v>18</v>
      </c>
    </row>
    <row r="37" spans="1:24" x14ac:dyDescent="0.25">
      <c r="A37" s="2" t="s">
        <v>2</v>
      </c>
      <c r="B37" s="3">
        <v>2.7410000000000001</v>
      </c>
    </row>
    <row r="38" spans="1:24" x14ac:dyDescent="0.25">
      <c r="A38" s="2" t="s">
        <v>2</v>
      </c>
      <c r="B38" s="3">
        <v>6.2560000000000002</v>
      </c>
    </row>
    <row r="39" spans="1:24" x14ac:dyDescent="0.25">
      <c r="A39" s="2" t="s">
        <v>2</v>
      </c>
      <c r="B39" s="3">
        <v>5.3490000000000002</v>
      </c>
    </row>
    <row r="40" spans="1:24" x14ac:dyDescent="0.25">
      <c r="A40" s="2" t="s">
        <v>2</v>
      </c>
      <c r="B40" s="3">
        <v>7.3</v>
      </c>
    </row>
    <row r="41" spans="1:24" x14ac:dyDescent="0.25">
      <c r="A41" s="2" t="s">
        <v>2</v>
      </c>
      <c r="B41" s="3">
        <v>5.4450000000000003</v>
      </c>
    </row>
    <row r="42" spans="1:24" x14ac:dyDescent="0.25">
      <c r="A42" s="2" t="s">
        <v>2</v>
      </c>
      <c r="B42" s="3">
        <v>4.97</v>
      </c>
    </row>
    <row r="43" spans="1:24" x14ac:dyDescent="0.25">
      <c r="A43" s="2" t="s">
        <v>2</v>
      </c>
      <c r="B43" s="3">
        <v>3.613</v>
      </c>
    </row>
    <row r="44" spans="1:24" x14ac:dyDescent="0.25">
      <c r="A44" s="2" t="s">
        <v>2</v>
      </c>
      <c r="B44" s="3">
        <v>7.5679999999999996</v>
      </c>
    </row>
    <row r="45" spans="1:24" x14ac:dyDescent="0.25">
      <c r="A45" s="2" t="s">
        <v>2</v>
      </c>
      <c r="B45" s="3">
        <v>5.8609999999999998</v>
      </c>
    </row>
    <row r="46" spans="1:24" x14ac:dyDescent="0.25">
      <c r="A46" s="2" t="s">
        <v>2</v>
      </c>
      <c r="B46" s="3">
        <v>4.157</v>
      </c>
    </row>
    <row r="47" spans="1:24" x14ac:dyDescent="0.25">
      <c r="A47" s="2" t="s">
        <v>2</v>
      </c>
      <c r="B47" s="3">
        <v>0.20300000000000001</v>
      </c>
    </row>
    <row r="48" spans="1:24" x14ac:dyDescent="0.25">
      <c r="A48" s="2" t="s">
        <v>2</v>
      </c>
      <c r="B48" s="3">
        <v>4.4409999999999998</v>
      </c>
    </row>
    <row r="49" spans="1:2" x14ac:dyDescent="0.25">
      <c r="A49" s="2" t="s">
        <v>2</v>
      </c>
      <c r="B49" s="3">
        <v>5.875</v>
      </c>
    </row>
    <row r="50" spans="1:2" x14ac:dyDescent="0.25">
      <c r="A50" s="2" t="s">
        <v>2</v>
      </c>
      <c r="B50" s="3">
        <v>5.7149999999999999</v>
      </c>
    </row>
    <row r="51" spans="1:2" x14ac:dyDescent="0.25">
      <c r="A51" s="2" t="s">
        <v>2</v>
      </c>
      <c r="B51" s="3">
        <v>0.28000000000000003</v>
      </c>
    </row>
    <row r="52" spans="1:2" x14ac:dyDescent="0.25">
      <c r="A52" s="2" t="s">
        <v>3</v>
      </c>
      <c r="B52" s="3">
        <v>-1.087</v>
      </c>
    </row>
    <row r="53" spans="1:2" x14ac:dyDescent="0.25">
      <c r="A53" s="2" t="s">
        <v>3</v>
      </c>
      <c r="B53" s="3">
        <v>1.819</v>
      </c>
    </row>
    <row r="54" spans="1:2" x14ac:dyDescent="0.25">
      <c r="A54" s="2" t="s">
        <v>3</v>
      </c>
      <c r="B54" s="3">
        <v>7.3999999999999996E-2</v>
      </c>
    </row>
    <row r="55" spans="1:2" x14ac:dyDescent="0.25">
      <c r="A55" s="2" t="s">
        <v>3</v>
      </c>
      <c r="B55" s="3">
        <v>1.7549999999999999</v>
      </c>
    </row>
    <row r="56" spans="1:2" x14ac:dyDescent="0.25">
      <c r="A56" s="2" t="s">
        <v>3</v>
      </c>
      <c r="B56" s="3">
        <v>1.889</v>
      </c>
    </row>
    <row r="57" spans="1:2" x14ac:dyDescent="0.25">
      <c r="A57" s="2" t="s">
        <v>3</v>
      </c>
      <c r="B57" s="3">
        <v>3.089</v>
      </c>
    </row>
    <row r="58" spans="1:2" x14ac:dyDescent="0.25">
      <c r="A58" s="2" t="s">
        <v>3</v>
      </c>
      <c r="B58" s="3">
        <v>4.008</v>
      </c>
    </row>
    <row r="59" spans="1:2" x14ac:dyDescent="0.25">
      <c r="A59" s="2" t="s">
        <v>3</v>
      </c>
      <c r="B59" s="3">
        <v>4.5510000000000002</v>
      </c>
    </row>
    <row r="60" spans="1:2" x14ac:dyDescent="0.25">
      <c r="A60" s="2" t="s">
        <v>3</v>
      </c>
      <c r="B60" s="3">
        <v>1.3720000000000001</v>
      </c>
    </row>
    <row r="61" spans="1:2" x14ac:dyDescent="0.25">
      <c r="A61" s="2" t="s">
        <v>3</v>
      </c>
      <c r="B61" s="3">
        <v>3.4129999999999998</v>
      </c>
    </row>
    <row r="62" spans="1:2" x14ac:dyDescent="0.25">
      <c r="A62" s="2" t="s">
        <v>3</v>
      </c>
      <c r="B62" s="3">
        <v>-4.1479999999999997</v>
      </c>
    </row>
    <row r="63" spans="1:2" x14ac:dyDescent="0.25">
      <c r="A63" s="2" t="s">
        <v>3</v>
      </c>
      <c r="B63" s="3">
        <v>2.823</v>
      </c>
    </row>
    <row r="64" spans="1:2" x14ac:dyDescent="0.25">
      <c r="A64" s="2" t="s">
        <v>3</v>
      </c>
      <c r="B64" s="3">
        <v>2.8650000000000002</v>
      </c>
    </row>
    <row r="65" spans="1:2" x14ac:dyDescent="0.25">
      <c r="A65" s="2" t="s">
        <v>3</v>
      </c>
      <c r="B65" s="3">
        <v>4.3689999999999998</v>
      </c>
    </row>
    <row r="66" spans="1:2" x14ac:dyDescent="0.25">
      <c r="A66" s="2" t="s">
        <v>3</v>
      </c>
      <c r="B66" s="3">
        <v>6.3369999999999997</v>
      </c>
    </row>
    <row r="67" spans="1:2" x14ac:dyDescent="0.25">
      <c r="A67" s="2" t="s">
        <v>3</v>
      </c>
      <c r="B67" s="3">
        <v>6.3079999999999998</v>
      </c>
    </row>
    <row r="68" spans="1:2" x14ac:dyDescent="0.25">
      <c r="A68" s="2" t="s">
        <v>3</v>
      </c>
      <c r="B68" s="3">
        <v>3.4940000000000002</v>
      </c>
    </row>
    <row r="69" spans="1:2" x14ac:dyDescent="0.25">
      <c r="A69" s="2" t="s">
        <v>3</v>
      </c>
      <c r="B69" s="3">
        <v>10.539</v>
      </c>
    </row>
    <row r="70" spans="1:2" x14ac:dyDescent="0.25">
      <c r="A70" s="2" t="s">
        <v>3</v>
      </c>
      <c r="B70" s="3">
        <v>3.84</v>
      </c>
    </row>
    <row r="71" spans="1:2" x14ac:dyDescent="0.25">
      <c r="A71" s="2" t="s">
        <v>3</v>
      </c>
      <c r="B71" s="3">
        <v>5.1230000000000002</v>
      </c>
    </row>
    <row r="72" spans="1:2" x14ac:dyDescent="0.25">
      <c r="A72" s="2" t="s">
        <v>3</v>
      </c>
      <c r="B72" s="3">
        <v>5.4850000000000003</v>
      </c>
    </row>
    <row r="73" spans="1:2" x14ac:dyDescent="0.25">
      <c r="A73" s="2" t="s">
        <v>3</v>
      </c>
      <c r="B73" s="3">
        <v>-1.8939999999999999</v>
      </c>
    </row>
    <row r="74" spans="1:2" x14ac:dyDescent="0.25">
      <c r="A74" s="2" t="s">
        <v>3</v>
      </c>
      <c r="B74" s="3">
        <v>8.016</v>
      </c>
    </row>
    <row r="75" spans="1:2" x14ac:dyDescent="0.25">
      <c r="A75" s="2" t="s">
        <v>3</v>
      </c>
      <c r="B75" s="3">
        <v>2.31</v>
      </c>
    </row>
    <row r="76" spans="1:2" x14ac:dyDescent="0.25">
      <c r="A76" s="2" t="s">
        <v>3</v>
      </c>
      <c r="B76" s="3">
        <v>3.8820000000000001</v>
      </c>
    </row>
    <row r="77" spans="1:2" x14ac:dyDescent="0.25">
      <c r="A77" s="2" t="s">
        <v>3</v>
      </c>
      <c r="B77" s="3">
        <v>7.03</v>
      </c>
    </row>
    <row r="78" spans="1:2" x14ac:dyDescent="0.25">
      <c r="A78" s="2" t="s">
        <v>3</v>
      </c>
      <c r="B78" s="3">
        <v>7.7270000000000003</v>
      </c>
    </row>
    <row r="79" spans="1:2" x14ac:dyDescent="0.25">
      <c r="A79" s="2" t="s">
        <v>3</v>
      </c>
      <c r="B79" s="3">
        <v>0.105</v>
      </c>
    </row>
    <row r="80" spans="1:2" x14ac:dyDescent="0.25">
      <c r="A80" s="2" t="s">
        <v>3</v>
      </c>
      <c r="B80" s="3">
        <v>3.65</v>
      </c>
    </row>
    <row r="81" spans="1:2" x14ac:dyDescent="0.25">
      <c r="A81" s="2" t="s">
        <v>3</v>
      </c>
      <c r="B81" s="3">
        <v>4.5469999999999997</v>
      </c>
    </row>
    <row r="82" spans="1:2" x14ac:dyDescent="0.25">
      <c r="A82" s="2" t="s">
        <v>3</v>
      </c>
      <c r="B82" s="3">
        <v>4.9850000000000003</v>
      </c>
    </row>
    <row r="83" spans="1:2" x14ac:dyDescent="0.25">
      <c r="A83" s="2" t="s">
        <v>3</v>
      </c>
      <c r="B83" s="3">
        <v>5.1589999999999998</v>
      </c>
    </row>
    <row r="84" spans="1:2" x14ac:dyDescent="0.25">
      <c r="A84" s="2" t="s">
        <v>3</v>
      </c>
      <c r="B84" s="3">
        <v>4.76</v>
      </c>
    </row>
    <row r="85" spans="1:2" x14ac:dyDescent="0.25">
      <c r="A85" s="2" t="s">
        <v>3</v>
      </c>
      <c r="B85" s="3">
        <v>4.9340000000000002</v>
      </c>
    </row>
    <row r="86" spans="1:2" x14ac:dyDescent="0.25">
      <c r="A86" s="2" t="s">
        <v>3</v>
      </c>
      <c r="B86" s="3">
        <v>3.1059999999999999</v>
      </c>
    </row>
    <row r="87" spans="1:2" x14ac:dyDescent="0.25">
      <c r="A87" s="2" t="s">
        <v>3</v>
      </c>
      <c r="B87" s="3">
        <v>5.5979999999999999</v>
      </c>
    </row>
    <row r="88" spans="1:2" x14ac:dyDescent="0.25">
      <c r="A88" s="2" t="s">
        <v>3</v>
      </c>
      <c r="B88" s="3">
        <v>2.1619999999999999</v>
      </c>
    </row>
    <row r="89" spans="1:2" x14ac:dyDescent="0.25">
      <c r="A89" s="2" t="s">
        <v>3</v>
      </c>
      <c r="B89" s="3">
        <v>6.52</v>
      </c>
    </row>
    <row r="90" spans="1:2" x14ac:dyDescent="0.25">
      <c r="A90" s="2" t="s">
        <v>3</v>
      </c>
      <c r="B90" s="3">
        <v>7.0460000000000003</v>
      </c>
    </row>
    <row r="91" spans="1:2" x14ac:dyDescent="0.25">
      <c r="A91" s="2" t="s">
        <v>3</v>
      </c>
      <c r="B91" s="3">
        <v>1.7569999999999999</v>
      </c>
    </row>
    <row r="92" spans="1:2" x14ac:dyDescent="0.25">
      <c r="A92" s="2" t="s">
        <v>3</v>
      </c>
      <c r="B92" s="3">
        <v>1.8480000000000001</v>
      </c>
    </row>
    <row r="93" spans="1:2" x14ac:dyDescent="0.25">
      <c r="A93" s="2" t="s">
        <v>3</v>
      </c>
      <c r="B93" s="3">
        <v>1.0960000000000001</v>
      </c>
    </row>
    <row r="94" spans="1:2" x14ac:dyDescent="0.25">
      <c r="A94" s="2" t="s">
        <v>3</v>
      </c>
      <c r="B94" s="3">
        <v>2.145</v>
      </c>
    </row>
    <row r="95" spans="1:2" x14ac:dyDescent="0.25">
      <c r="A95" s="2" t="s">
        <v>3</v>
      </c>
      <c r="B95" s="3">
        <v>8.4350000000000005</v>
      </c>
    </row>
    <row r="96" spans="1:2" x14ac:dyDescent="0.25">
      <c r="A96" s="2" t="s">
        <v>3</v>
      </c>
      <c r="B96" s="3">
        <v>6.0990000000000002</v>
      </c>
    </row>
    <row r="97" spans="1:2" x14ac:dyDescent="0.25">
      <c r="A97" s="2" t="s">
        <v>3</v>
      </c>
      <c r="B97" s="3">
        <v>3.972</v>
      </c>
    </row>
    <row r="98" spans="1:2" x14ac:dyDescent="0.25">
      <c r="A98" s="2" t="s">
        <v>3</v>
      </c>
      <c r="B98" s="3">
        <v>2.4089999999999998</v>
      </c>
    </row>
    <row r="99" spans="1:2" x14ac:dyDescent="0.25">
      <c r="A99" s="2" t="s">
        <v>3</v>
      </c>
      <c r="B99" s="3">
        <v>0.56899999999999995</v>
      </c>
    </row>
    <row r="100" spans="1:2" x14ac:dyDescent="0.25">
      <c r="A100" s="2" t="s">
        <v>3</v>
      </c>
      <c r="B100" s="3">
        <v>7.0129999999999999</v>
      </c>
    </row>
    <row r="101" spans="1:2" x14ac:dyDescent="0.25">
      <c r="A101" s="2" t="s">
        <v>3</v>
      </c>
      <c r="B101" s="3">
        <v>2.5939999999999999</v>
      </c>
    </row>
  </sheetData>
  <phoneticPr fontId="2" type="noConversion"/>
  <pageMargins left="0.75" right="0.75" top="1" bottom="1" header="0.5" footer="0.5"/>
  <pageSetup paperSize="9" orientation="portrait" horizontalDpi="4294967293" verticalDpi="0" r:id="rId1"/>
  <headerFooter alignWithMargins="0"/>
  <ignoredErrors>
    <ignoredError sqref="F3:F5 F7:F9 Q3:Q9"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2" x14ac:dyDescent="0.25"/>
  <sheetData/>
  <phoneticPr fontId="2"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x14ac:dyDescent="0.25"/>
  <sheetData/>
  <phoneticPr fontId="2"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Diets</vt:lpstr>
      <vt:lpstr>Sheet2</vt:lpstr>
      <vt:lpstr>Sheet3</vt:lpstr>
    </vt:vector>
  </TitlesOfParts>
  <Company>SHU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F. Jones</dc:creator>
  <cp:lastModifiedBy>pavlos papachristos</cp:lastModifiedBy>
  <dcterms:created xsi:type="dcterms:W3CDTF">2006-09-15T14:24:12Z</dcterms:created>
  <dcterms:modified xsi:type="dcterms:W3CDTF">2026-01-21T19:14:23Z</dcterms:modified>
</cp:coreProperties>
</file>