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"/>
    </mc:Choice>
  </mc:AlternateContent>
  <xr:revisionPtr revIDLastSave="0" documentId="8_{4ECE4815-787D-4CFD-BE70-659E3BF03C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ets" sheetId="1" r:id="rId1"/>
    <sheet name="Interpre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9" i="1"/>
  <c r="F8" i="1"/>
  <c r="F7" i="1"/>
  <c r="F6" i="1"/>
  <c r="F25" i="1"/>
  <c r="F24" i="1"/>
  <c r="F23" i="1"/>
  <c r="F5" i="1"/>
  <c r="F4" i="1"/>
  <c r="F3" i="1"/>
</calcChain>
</file>

<file path=xl/sharedStrings.xml><?xml version="1.0" encoding="utf-8"?>
<sst xmlns="http://schemas.openxmlformats.org/spreadsheetml/2006/main" count="122" uniqueCount="17">
  <si>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</si>
  <si>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</si>
  <si>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</si>
  <si>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</si>
  <si>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</si>
  <si>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</si>
  <si>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</si>
  <si>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</si>
  <si>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</si>
  <si>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Median</t>
  </si>
  <si>
    <t>Q1</t>
  </si>
  <si>
    <t>Q3</t>
  </si>
  <si>
    <t>IQR</t>
  </si>
  <si>
    <r>
      <t xml:space="preserve">For Diet 2, the </t>
    </r>
    <r>
      <rPr>
        <b/>
        <sz val="12"/>
        <rFont val="Aptos"/>
        <family val="2"/>
      </rPr>
      <t>median score of about 3.7</t>
    </r>
    <r>
      <rPr>
        <sz val="12"/>
        <rFont val="Aptos"/>
        <family val="2"/>
      </rPr>
      <t xml:space="preserve"> indicates that the typical participant sees </t>
    </r>
    <r>
      <rPr>
        <b/>
        <sz val="12"/>
        <rFont val="Aptos"/>
        <family val="2"/>
      </rPr>
      <t>only moderate improvement</t>
    </r>
    <r>
      <rPr>
        <sz val="12"/>
        <rFont val="Aptos"/>
        <family val="2"/>
      </rPr>
      <t xml:space="preserve">. The </t>
    </r>
    <r>
      <rPr>
        <b/>
        <sz val="12"/>
        <rFont val="Aptos"/>
        <family val="2"/>
      </rPr>
      <t>lower quartile (Q1 ≈ 2.0)</t>
    </r>
    <r>
      <rPr>
        <sz val="12"/>
        <rFont val="Aptos"/>
        <family val="2"/>
      </rPr>
      <t xml:space="preserve"> shows that </t>
    </r>
    <r>
      <rPr>
        <b/>
        <sz val="12"/>
        <rFont val="Aptos"/>
        <family val="2"/>
      </rPr>
      <t>at least 25% of participants experience little benefit</t>
    </r>
    <r>
      <rPr>
        <sz val="12"/>
        <rFont val="Aptos"/>
        <family val="2"/>
      </rPr>
      <t xml:space="preserve">, while the </t>
    </r>
    <r>
      <rPr>
        <b/>
        <sz val="12"/>
        <rFont val="Aptos"/>
        <family val="2"/>
      </rPr>
      <t>upper quartile (Q3 ≈ 5.4)</t>
    </r>
    <r>
      <rPr>
        <sz val="12"/>
        <rFont val="Aptos"/>
        <family val="2"/>
      </rPr>
      <t xml:space="preserve"> indicates that even among the better responders, improvement is </t>
    </r>
    <r>
      <rPr>
        <b/>
        <sz val="12"/>
        <rFont val="Aptos"/>
        <family val="2"/>
      </rPr>
      <t>not exceptionally high</t>
    </r>
    <r>
      <rPr>
        <sz val="12"/>
        <rFont val="Aptos"/>
        <family val="2"/>
      </rPr>
      <t xml:space="preserve">. The </t>
    </r>
    <r>
      <rPr>
        <b/>
        <sz val="12"/>
        <rFont val="Aptos"/>
        <family val="2"/>
      </rPr>
      <t>large interquartile range of 3.45</t>
    </r>
    <r>
      <rPr>
        <sz val="12"/>
        <rFont val="Aptos"/>
        <family val="2"/>
      </rPr>
      <t xml:space="preserve"> demonstrates that the </t>
    </r>
    <r>
      <rPr>
        <b/>
        <sz val="12"/>
        <rFont val="Aptos"/>
        <family val="2"/>
      </rPr>
      <t>middle 50% of outcomes are widely spread</t>
    </r>
    <r>
      <rPr>
        <sz val="12"/>
        <rFont val="Aptos"/>
        <family val="2"/>
      </rPr>
      <t xml:space="preserve">, meaning participants do not cluster around a common level of success. This wide spread implies that </t>
    </r>
    <r>
      <rPr>
        <b/>
        <sz val="12"/>
        <rFont val="Aptos"/>
        <family val="2"/>
      </rPr>
      <t>Diet 2 lacks consistent effectiveness</t>
    </r>
    <r>
      <rPr>
        <sz val="12"/>
        <rFont val="Aptos"/>
        <family val="2"/>
      </rPr>
      <t>: its impact varies greatly between individuals, so it cannot be considered a reliably effective diet for most people.</t>
    </r>
  </si>
  <si>
    <t>Relative effectiveness of Diet 1 and Diet 2</t>
  </si>
  <si>
    <r>
      <t xml:space="preserve">Diet 1 appears </t>
    </r>
    <r>
      <rPr>
        <b/>
        <sz val="12"/>
        <rFont val="Aptos"/>
        <family val="2"/>
      </rPr>
      <t>clearly more effective overall</t>
    </r>
    <r>
      <rPr>
        <sz val="12"/>
        <rFont val="Aptos"/>
        <family val="2"/>
      </rPr>
      <t xml:space="preserve"> than Diet 2. Diet 1 has a </t>
    </r>
    <r>
      <rPr>
        <b/>
        <sz val="12"/>
        <rFont val="Aptos"/>
        <family val="2"/>
      </rPr>
      <t>higher mean (5.34 vs 3.71)</t>
    </r>
    <r>
      <rPr>
        <sz val="12"/>
        <rFont val="Aptos"/>
        <family val="2"/>
      </rPr>
      <t xml:space="preserve"> and </t>
    </r>
    <r>
      <rPr>
        <b/>
        <sz val="12"/>
        <rFont val="Aptos"/>
        <family val="2"/>
      </rPr>
      <t>higher median (5.64 vs 3.75)</t>
    </r>
    <r>
      <rPr>
        <sz val="12"/>
        <rFont val="Aptos"/>
        <family val="2"/>
      </rPr>
      <t xml:space="preserve">, showing that both the average participant and the typical participant achieve </t>
    </r>
    <r>
      <rPr>
        <b/>
        <sz val="12"/>
        <rFont val="Aptos"/>
        <family val="2"/>
      </rPr>
      <t>substantially better outcomes</t>
    </r>
    <r>
      <rPr>
        <sz val="12"/>
        <rFont val="Aptos"/>
        <family val="2"/>
      </rPr>
      <t xml:space="preserve"> on Diet 1. The quartile results reinforce this conclusion: even the </t>
    </r>
    <r>
      <rPr>
        <b/>
        <sz val="12"/>
        <rFont val="Aptos"/>
        <family val="2"/>
      </rPr>
      <t>lower quartile of Diet 1 (Q1 ≈ 3.75)</t>
    </r>
    <r>
      <rPr>
        <sz val="12"/>
        <rFont val="Aptos"/>
        <family val="2"/>
      </rPr>
      <t xml:space="preserve"> is close to the </t>
    </r>
    <r>
      <rPr>
        <b/>
        <sz val="12"/>
        <rFont val="Aptos"/>
        <family val="2"/>
      </rPr>
      <t>median of Diet 2</t>
    </r>
    <r>
      <rPr>
        <sz val="12"/>
        <rFont val="Aptos"/>
        <family val="2"/>
      </rPr>
      <t xml:space="preserve">, indicating that </t>
    </r>
    <r>
      <rPr>
        <b/>
        <sz val="12"/>
        <rFont val="Aptos"/>
        <family val="2"/>
      </rPr>
      <t>most participants on Diet 1 outperform a large proportion of those on Diet 2</t>
    </r>
    <r>
      <rPr>
        <sz val="12"/>
        <rFont val="Aptos"/>
        <family val="2"/>
      </rPr>
      <t xml:space="preserve">. While both diets show a similar interquartile range (IQR ≈ 3.3–3.5), meaning variability is comparable, the entire middle 50% of Diet 1’s outcomes lies at a </t>
    </r>
    <r>
      <rPr>
        <b/>
        <sz val="12"/>
        <rFont val="Aptos"/>
        <family val="2"/>
      </rPr>
      <t>higher level</t>
    </r>
    <r>
      <rPr>
        <sz val="12"/>
        <rFont val="Aptos"/>
        <family val="2"/>
      </rPr>
      <t xml:space="preserve"> than Diet 2’s. Overall, this suggests that </t>
    </r>
    <r>
      <rPr>
        <b/>
        <sz val="12"/>
        <rFont val="Aptos"/>
        <family val="2"/>
      </rPr>
      <t>Diet 1 is not only more effective but delivers consistently better results</t>
    </r>
    <r>
      <rPr>
        <sz val="12"/>
        <rFont val="Aptos"/>
        <family val="2"/>
      </rPr>
      <t xml:space="preserve">, whereas Diet 2 produces </t>
    </r>
    <r>
      <rPr>
        <b/>
        <sz val="12"/>
        <rFont val="Aptos"/>
        <family val="2"/>
      </rPr>
      <t>lower and less convincing outcomes</t>
    </r>
    <r>
      <rPr>
        <sz val="12"/>
        <rFont val="Aptos"/>
        <family val="2"/>
      </rPr>
      <t>, working well only for a minority of participants.</t>
    </r>
  </si>
  <si>
    <t>Diet 1 is more effective and more reliably beneficial than Diet 2, whose results are lower and less consistently positive.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</si>
</sst>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7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</font>
    <font>
      <sz val="12"/>
      <name val="Aptos"/>
      <family val="2"/>
    </font>
    <font>
      <b/>
      <sz val="1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2" borderId="0" xfId="0" applyNumberFormat="1" applyFill="1"/>
    <xf numFmtId="0" fontId="0" fillId="3" borderId="0" xfId="0" applyFill="1"/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0" fillId="4" borderId="2" xfId="0" applyFill="1" applyBorder="1"/>
    <xf numFmtId="0" fontId="6" fillId="4" borderId="3" xfId="0" applyFont="1" applyFill="1" applyBorder="1" applyAlignment="1">
      <alignment vertical="center"/>
    </xf>
    <xf numFmtId="0" fontId="6" fillId="4" borderId="2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opLeftCell="A4" workbookViewId="0">
      <selection activeCell="F29" sqref="F29"/>
    </sheetView>
  </sheetViews>
  <sheetFormatPr defaultRowHeight="13.2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s="2" t="s">
        <v>2</v>
      </c>
      <c r="B2" s="3">
        <v>3.7090000000000001</v>
      </c>
    </row>
    <row r="3" spans="1:6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</row>
    <row r="4" spans="1:6" x14ac:dyDescent="0.2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6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</row>
    <row r="6" spans="1:6" x14ac:dyDescent="0.25">
      <c r="A6" s="2" t="s">
        <v>2</v>
      </c>
      <c r="B6" s="3">
        <v>9.077</v>
      </c>
      <c r="E6" s="4" t="s">
        <v>9</v>
      </c>
      <c r="F6" s="7">
        <f>MEDIAN(B2:B51)</f>
        <v>5.6419999999999995</v>
      </c>
    </row>
    <row r="7" spans="1:6" x14ac:dyDescent="0.25">
      <c r="A7" s="2" t="s">
        <v>2</v>
      </c>
      <c r="B7" s="3">
        <v>6.4130000000000003</v>
      </c>
      <c r="E7" s="4" t="s">
        <v>10</v>
      </c>
      <c r="F7" s="7">
        <f>QUARTILE(B2:B51,1)</f>
        <v>3.7482500000000001</v>
      </c>
    </row>
    <row r="8" spans="1:6" x14ac:dyDescent="0.25">
      <c r="A8" s="2" t="s">
        <v>2</v>
      </c>
      <c r="B8" s="3">
        <v>5.8769999999999998</v>
      </c>
      <c r="E8" s="4" t="s">
        <v>11</v>
      </c>
      <c r="F8" s="7">
        <f>QUARTILE(B2:B51,3)</f>
        <v>7.0327500000000001</v>
      </c>
    </row>
    <row r="9" spans="1:6" x14ac:dyDescent="0.25">
      <c r="A9" s="2" t="s">
        <v>2</v>
      </c>
      <c r="B9" s="3">
        <v>2.5720000000000001</v>
      </c>
      <c r="E9" s="4" t="s">
        <v>12</v>
      </c>
      <c r="F9" s="7">
        <f>F8-F7</f>
        <v>3.2845</v>
      </c>
    </row>
    <row r="10" spans="1:6" x14ac:dyDescent="0.25">
      <c r="A10" s="2" t="s">
        <v>2</v>
      </c>
      <c r="B10" s="3">
        <v>7.52</v>
      </c>
    </row>
    <row r="11" spans="1:6" x14ac:dyDescent="0.25">
      <c r="A11" s="2" t="s">
        <v>2</v>
      </c>
      <c r="B11" s="3">
        <v>6.8810000000000002</v>
      </c>
    </row>
    <row r="12" spans="1:6" x14ac:dyDescent="0.25">
      <c r="A12" s="2" t="s">
        <v>2</v>
      </c>
      <c r="B12" s="3">
        <v>7.2649999999999997</v>
      </c>
    </row>
    <row r="13" spans="1:6" x14ac:dyDescent="0.25">
      <c r="A13" s="2" t="s">
        <v>2</v>
      </c>
      <c r="B13" s="3">
        <v>3.4769999999999999</v>
      </c>
    </row>
    <row r="14" spans="1:6" x14ac:dyDescent="0.25">
      <c r="A14" s="2" t="s">
        <v>2</v>
      </c>
      <c r="B14" s="3">
        <v>3.7549999999999999</v>
      </c>
    </row>
    <row r="15" spans="1:6" x14ac:dyDescent="0.25">
      <c r="A15" s="2" t="s">
        <v>2</v>
      </c>
      <c r="B15" s="3">
        <v>8.76</v>
      </c>
    </row>
    <row r="16" spans="1:6" x14ac:dyDescent="0.25">
      <c r="A16" s="2" t="s">
        <v>2</v>
      </c>
      <c r="B16" s="3">
        <v>7.032</v>
      </c>
    </row>
    <row r="17" spans="1:6" x14ac:dyDescent="0.25">
      <c r="A17" s="2" t="s">
        <v>2</v>
      </c>
      <c r="B17" s="3">
        <v>9.0519999999999996</v>
      </c>
    </row>
    <row r="18" spans="1:6" x14ac:dyDescent="0.25">
      <c r="A18" s="2" t="s">
        <v>2</v>
      </c>
      <c r="B18" s="3">
        <v>10.061999999999999</v>
      </c>
    </row>
    <row r="19" spans="1:6" x14ac:dyDescent="0.25">
      <c r="A19" s="2" t="s">
        <v>2</v>
      </c>
      <c r="B19" s="3">
        <v>4.84</v>
      </c>
    </row>
    <row r="20" spans="1:6" x14ac:dyDescent="0.25">
      <c r="A20" s="2" t="s">
        <v>2</v>
      </c>
      <c r="B20" s="3">
        <v>6.4489999999999998</v>
      </c>
    </row>
    <row r="21" spans="1:6" x14ac:dyDescent="0.25">
      <c r="A21" s="2" t="s">
        <v>2</v>
      </c>
      <c r="B21" s="3">
        <v>9.0190000000000001</v>
      </c>
    </row>
    <row r="22" spans="1:6" x14ac:dyDescent="0.25">
      <c r="A22" s="2" t="s">
        <v>2</v>
      </c>
      <c r="B22" s="3">
        <v>-1.7150000000000001</v>
      </c>
    </row>
    <row r="23" spans="1:6" x14ac:dyDescent="0.25">
      <c r="A23" s="2" t="s">
        <v>2</v>
      </c>
      <c r="B23" s="3">
        <v>4.718</v>
      </c>
      <c r="D23" s="4" t="s">
        <v>8</v>
      </c>
      <c r="E23" s="4" t="s">
        <v>5</v>
      </c>
      <c r="F23" s="5">
        <f>COUNT(B52:B101)</f>
        <v>50</v>
      </c>
    </row>
    <row r="24" spans="1:6" x14ac:dyDescent="0.25">
      <c r="A24" s="2" t="s">
        <v>2</v>
      </c>
      <c r="B24" s="3">
        <v>4.0069999999999997</v>
      </c>
      <c r="E24" s="4" t="s">
        <v>6</v>
      </c>
      <c r="F24" s="6">
        <f>AVERAGE(B52:B101)</f>
        <v>3.709960000000001</v>
      </c>
    </row>
    <row r="25" spans="1:6" x14ac:dyDescent="0.25">
      <c r="A25" s="2" t="s">
        <v>2</v>
      </c>
      <c r="B25" s="3">
        <v>7.2409999999999997</v>
      </c>
      <c r="E25" s="4" t="s">
        <v>7</v>
      </c>
      <c r="F25" s="6">
        <f>STDEV(B52:B101)</f>
        <v>2.7690419986349206</v>
      </c>
    </row>
    <row r="26" spans="1:6" x14ac:dyDescent="0.25">
      <c r="A26" s="2" t="s">
        <v>2</v>
      </c>
      <c r="B26" s="3">
        <v>2.1280000000000001</v>
      </c>
      <c r="E26" s="4" t="s">
        <v>9</v>
      </c>
      <c r="F26" s="8">
        <f>MEDIAN(B52:B101)</f>
        <v>3.7450000000000001</v>
      </c>
    </row>
    <row r="27" spans="1:6" x14ac:dyDescent="0.25">
      <c r="A27" s="2" t="s">
        <v>2</v>
      </c>
      <c r="B27" s="3">
        <v>6.968</v>
      </c>
      <c r="E27" s="4" t="s">
        <v>10</v>
      </c>
      <c r="F27" s="8">
        <f>QUARTILE(B52:B101,1)</f>
        <v>1.9530000000000001</v>
      </c>
    </row>
    <row r="28" spans="1:6" x14ac:dyDescent="0.25">
      <c r="A28" s="2" t="s">
        <v>2</v>
      </c>
      <c r="B28" s="3">
        <v>4.8529999999999998</v>
      </c>
      <c r="E28" s="4" t="s">
        <v>11</v>
      </c>
      <c r="F28" s="8">
        <f>QUARTILE(B52:B101,3)</f>
        <v>5.4035000000000002</v>
      </c>
    </row>
    <row r="29" spans="1:6" x14ac:dyDescent="0.25">
      <c r="A29" s="2" t="s">
        <v>2</v>
      </c>
      <c r="B29" s="3">
        <v>5.5E-2</v>
      </c>
      <c r="E29" s="4" t="s">
        <v>12</v>
      </c>
      <c r="F29" s="8">
        <f>F28-F27</f>
        <v>3.4504999999999999</v>
      </c>
    </row>
    <row r="30" spans="1:6" x14ac:dyDescent="0.25">
      <c r="A30" s="2" t="s">
        <v>2</v>
      </c>
      <c r="B30" s="3">
        <v>2.68</v>
      </c>
    </row>
    <row r="31" spans="1:6" x14ac:dyDescent="0.25">
      <c r="A31" s="2" t="s">
        <v>2</v>
      </c>
      <c r="B31" s="3">
        <v>3.746</v>
      </c>
    </row>
    <row r="32" spans="1:6" x14ac:dyDescent="0.25">
      <c r="A32" s="2" t="s">
        <v>2</v>
      </c>
      <c r="B32" s="3">
        <v>7.0330000000000004</v>
      </c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  <ignoredErrors>
    <ignoredError sqref="F3:F9 F23:F2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B9"/>
  <sheetViews>
    <sheetView tabSelected="1" topLeftCell="A4" workbookViewId="0">
      <selection activeCell="B6" sqref="B6"/>
    </sheetView>
  </sheetViews>
  <sheetFormatPr defaultRowHeight="13.2" x14ac:dyDescent="0.25"/>
  <cols>
    <col min="1" max="1" width="8.88671875" style="9"/>
    <col min="2" max="2" width="132.6640625" style="9" customWidth="1"/>
    <col min="3" max="16384" width="8.88671875" style="9"/>
  </cols>
  <sheetData>
    <row r="4" spans="2:2" ht="13.8" thickBot="1" x14ac:dyDescent="0.3"/>
    <row r="5" spans="2:2" ht="93.6" x14ac:dyDescent="0.25">
      <c r="B5" s="10" t="s">
        <v>13</v>
      </c>
    </row>
    <row r="6" spans="2:2" ht="46.8" customHeight="1" x14ac:dyDescent="0.3">
      <c r="B6" s="14" t="s">
        <v>14</v>
      </c>
    </row>
    <row r="7" spans="2:2" ht="109.2" x14ac:dyDescent="0.25">
      <c r="B7" s="11" t="s">
        <v>15</v>
      </c>
    </row>
    <row r="8" spans="2:2" x14ac:dyDescent="0.25">
      <c r="B8" s="12"/>
    </row>
    <row r="9" spans="2:2" ht="24.6" customHeight="1" thickBot="1" x14ac:dyDescent="0.3">
      <c r="B9" s="13" t="s">
        <v>16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Diets</vt:lpstr>
      <vt:lpstr>Interpretation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pavlos papachristos</cp:lastModifiedBy>
  <dcterms:created xsi:type="dcterms:W3CDTF">2006-09-15T14:24:12Z</dcterms:created>
  <dcterms:modified xsi:type="dcterms:W3CDTF">2026-01-18T07:45:50Z</dcterms:modified>
</cp:coreProperties>
</file>