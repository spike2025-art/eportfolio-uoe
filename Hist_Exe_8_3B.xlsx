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8\Charts\"/>
    </mc:Choice>
  </mc:AlternateContent>
  <xr:revisionPtr revIDLastSave="0" documentId="13_ncr:1_{C4C9F6E8-C63D-40F3-AC22-9D21BB5827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4" i="1"/>
  <c r="I12" i="1"/>
  <c r="I4" i="1" a="1"/>
  <c r="I4" i="1" s="1"/>
  <c r="F9" i="1"/>
  <c r="F8" i="1"/>
  <c r="F7" i="1"/>
  <c r="F5" i="1"/>
  <c r="F3" i="1"/>
  <c r="F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<sst xmlns="http://schemas.openxmlformats.org/spreadsheetml/2006/main" count="116" uniqueCount="17">
  <si>
    <t>Diet</t>
  </si>
  <si>
    <t>Wtloss</t>
  </si>
  <si>
    <t>A</t>
  </si>
  <si>
    <t>B</t>
  </si>
  <si>
    <t>Diet A</t>
  </si>
  <si>
    <t>n</t>
  </si>
  <si>
    <t>Mean</t>
  </si>
  <si>
    <t>SD</t>
  </si>
  <si>
    <t>Range</t>
  </si>
  <si>
    <t>Min</t>
  </si>
  <si>
    <t>Max</t>
  </si>
  <si>
    <t xml:space="preserve"> </t>
  </si>
  <si>
    <t>UCB</t>
  </si>
  <si>
    <t>Class</t>
  </si>
  <si>
    <t>Mark</t>
  </si>
  <si>
    <t>Relative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</si>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</sst>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Diet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Diets!$K$4:$K$10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Diets!$L$4:$L$10</c:f>
              <c:numCache>
                <c:formatCode>General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0-4D15-9102-0626767F7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2240608"/>
        <c:axId val="1222239168"/>
      </c:barChart>
      <c:catAx>
        <c:axId val="12222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Loss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39168"/>
        <c:crosses val="autoZero"/>
        <c:auto val="1"/>
        <c:lblAlgn val="ctr"/>
        <c:lblOffset val="100"/>
        <c:noMultiLvlLbl val="0"/>
      </c:catAx>
      <c:valAx>
        <c:axId val="12222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4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11</xdr:row>
      <xdr:rowOff>167640</xdr:rowOff>
    </xdr:from>
    <xdr:to>
      <xdr:col>11</xdr:col>
      <xdr:colOff>38100</xdr:colOff>
      <xdr:row>35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903318-FA76-C224-912B-542BF3304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2" workbookViewId="0">
      <selection activeCell="V38" sqref="V38"/>
    </sheetView>
  </sheetViews>
  <sheetFormatPr defaultRowHeight="13.2" x14ac:dyDescent="0.25"/>
  <cols>
    <col min="9" max="9" width="10.6640625" customWidth="1"/>
    <col min="12" max="12" width="10.6640625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2" t="s">
        <v>2</v>
      </c>
      <c r="B2" s="3">
        <v>3.7090000000000001</v>
      </c>
      <c r="K2" s="4" t="s">
        <v>13</v>
      </c>
      <c r="L2" s="4" t="s">
        <v>15</v>
      </c>
    </row>
    <row r="3" spans="1:12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12</v>
      </c>
      <c r="I3" s="4" t="s">
        <v>16</v>
      </c>
      <c r="K3" s="4" t="s">
        <v>14</v>
      </c>
      <c r="L3" s="4" t="s">
        <v>16</v>
      </c>
    </row>
    <row r="4" spans="1:12" x14ac:dyDescent="0.2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H4">
        <v>0</v>
      </c>
      <c r="I4" cm="1">
        <f t="array" ref="I4:I11">FREQUENCY(B2:B51,H4:H10)</f>
        <v>1</v>
      </c>
      <c r="K4">
        <v>-1</v>
      </c>
      <c r="L4">
        <f>I4/I$12</f>
        <v>0.02</v>
      </c>
    </row>
    <row r="5" spans="1:12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H5">
        <v>2</v>
      </c>
      <c r="I5">
        <v>3</v>
      </c>
      <c r="K5">
        <v>1</v>
      </c>
      <c r="L5">
        <f t="shared" ref="L5:L10" si="0">I5/I$12</f>
        <v>0.06</v>
      </c>
    </row>
    <row r="6" spans="1:12" x14ac:dyDescent="0.25">
      <c r="A6" s="2" t="s">
        <v>2</v>
      </c>
      <c r="B6" s="3">
        <v>9.077</v>
      </c>
      <c r="F6" t="s">
        <v>11</v>
      </c>
      <c r="H6">
        <v>4</v>
      </c>
      <c r="I6">
        <v>10</v>
      </c>
      <c r="K6">
        <v>3</v>
      </c>
      <c r="L6">
        <f t="shared" si="0"/>
        <v>0.2</v>
      </c>
    </row>
    <row r="7" spans="1:12" x14ac:dyDescent="0.25">
      <c r="A7" s="2" t="s">
        <v>2</v>
      </c>
      <c r="B7" s="3">
        <v>6.4130000000000003</v>
      </c>
      <c r="E7" s="4" t="s">
        <v>9</v>
      </c>
      <c r="F7" s="6">
        <f>MIN(B2:B51)</f>
        <v>-1.7150000000000001</v>
      </c>
      <c r="H7">
        <v>6</v>
      </c>
      <c r="I7">
        <v>15</v>
      </c>
      <c r="K7">
        <v>5</v>
      </c>
      <c r="L7">
        <f t="shared" si="0"/>
        <v>0.3</v>
      </c>
    </row>
    <row r="8" spans="1:12" x14ac:dyDescent="0.25">
      <c r="A8" s="2" t="s">
        <v>2</v>
      </c>
      <c r="B8" s="3">
        <v>5.8769999999999998</v>
      </c>
      <c r="E8" s="4" t="s">
        <v>10</v>
      </c>
      <c r="F8" s="6">
        <f>MAX(B2:B51)</f>
        <v>10.061999999999999</v>
      </c>
      <c r="H8">
        <v>8</v>
      </c>
      <c r="I8">
        <v>15</v>
      </c>
      <c r="K8">
        <v>7</v>
      </c>
      <c r="L8">
        <f t="shared" si="0"/>
        <v>0.3</v>
      </c>
    </row>
    <row r="9" spans="1:12" x14ac:dyDescent="0.25">
      <c r="A9" s="2" t="s">
        <v>2</v>
      </c>
      <c r="B9" s="3">
        <v>2.5720000000000001</v>
      </c>
      <c r="E9" s="4" t="s">
        <v>8</v>
      </c>
      <c r="F9" s="6">
        <f>F8-F7</f>
        <v>11.776999999999999</v>
      </c>
      <c r="H9">
        <v>10</v>
      </c>
      <c r="I9">
        <v>5</v>
      </c>
      <c r="K9">
        <v>9</v>
      </c>
      <c r="L9">
        <f t="shared" si="0"/>
        <v>0.1</v>
      </c>
    </row>
    <row r="10" spans="1:12" x14ac:dyDescent="0.25">
      <c r="A10" s="2" t="s">
        <v>2</v>
      </c>
      <c r="B10" s="3">
        <v>7.52</v>
      </c>
      <c r="H10">
        <v>12</v>
      </c>
      <c r="I10">
        <v>1</v>
      </c>
      <c r="K10">
        <v>11</v>
      </c>
      <c r="L10">
        <f t="shared" si="0"/>
        <v>0.02</v>
      </c>
    </row>
    <row r="11" spans="1:12" x14ac:dyDescent="0.25">
      <c r="A11" s="2" t="s">
        <v>2</v>
      </c>
      <c r="B11" s="3">
        <v>6.8810000000000002</v>
      </c>
      <c r="I11">
        <v>0</v>
      </c>
    </row>
    <row r="12" spans="1:12" x14ac:dyDescent="0.25">
      <c r="A12" s="2" t="s">
        <v>2</v>
      </c>
      <c r="B12" s="3">
        <v>7.2649999999999997</v>
      </c>
      <c r="I12">
        <f>SUM(_xlfn.ANCHORARRAY(I4))</f>
        <v>50</v>
      </c>
    </row>
    <row r="13" spans="1:12" x14ac:dyDescent="0.25">
      <c r="A13" s="2" t="s">
        <v>2</v>
      </c>
      <c r="B13" s="3">
        <v>3.4769999999999999</v>
      </c>
    </row>
    <row r="14" spans="1:12" x14ac:dyDescent="0.25">
      <c r="A14" s="2" t="s">
        <v>2</v>
      </c>
      <c r="B14" s="3">
        <v>3.7549999999999999</v>
      </c>
    </row>
    <row r="15" spans="1:12" x14ac:dyDescent="0.25">
      <c r="A15" s="2" t="s">
        <v>2</v>
      </c>
      <c r="B15" s="3">
        <v>8.76</v>
      </c>
    </row>
    <row r="16" spans="1:12" x14ac:dyDescent="0.25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5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5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5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5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5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5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5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5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5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5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5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5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5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5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5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  <ignoredErrors>
    <ignoredError sqref="F3:F5 F7:F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pavlos papachristos</cp:lastModifiedBy>
  <dcterms:created xsi:type="dcterms:W3CDTF">2006-09-15T14:24:12Z</dcterms:created>
  <dcterms:modified xsi:type="dcterms:W3CDTF">2026-01-21T17:21:10Z</dcterms:modified>
</cp:coreProperties>
</file>