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Essex\Module 6\Unit 7\Results_ex_7\Hypothesis Testing\"/>
    </mc:Choice>
  </mc:AlternateContent>
  <xr:revisionPtr revIDLastSave="0" documentId="8_{6AFA973D-2254-421E-A3C3-68243D89B5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Description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0" i="1"/>
  <c r="M9" i="1"/>
  <c r="M8" i="1"/>
  <c r="M6" i="1"/>
  <c r="M7" i="1"/>
  <c r="M5" i="1"/>
  <c r="M4" i="1"/>
  <c r="D3" i="1"/>
  <c r="D4" i="1"/>
  <c r="D5" i="1"/>
  <c r="D6" i="1"/>
  <c r="D7" i="1"/>
  <c r="D8" i="1"/>
  <c r="D9" i="1"/>
  <c r="D10" i="1"/>
  <c r="D11" i="1"/>
  <c r="D2" i="1"/>
  <c r="H16" i="1"/>
</calcChain>
</file>

<file path=xl/sharedStrings.xml><?xml version="1.0" encoding="utf-8"?>
<sst xmlns="http://schemas.openxmlformats.org/spreadsheetml/2006/main" count="38" uniqueCount="32">
  <si>
    <t>Store</t>
  </si>
  <si>
    <t>Con1</t>
  </si>
  <si>
    <t>Con2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</si>
  <si>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</si>
  <si>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</si>
  <si>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</si>
  <si>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</si>
  <si>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</si>
  <si>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</si>
  <si>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</si>
  <si>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</si>
  <si>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</si>
  <si>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</si>
  <si>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</si>
  <si>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</si>
  <si>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Difference in Means</t>
  </si>
  <si>
    <t>Difference</t>
  </si>
  <si>
    <t>t-Test: One-tailed paired t-test</t>
  </si>
  <si>
    <t>Mean Difference</t>
  </si>
  <si>
    <t>Standard Deviation of Differences</t>
  </si>
  <si>
    <t>Standard error of mean difference</t>
  </si>
  <si>
    <t>t-statistic calculation</t>
  </si>
  <si>
    <t>degrees of freedom</t>
  </si>
  <si>
    <t>The market research staff at a detergent manufacturing company is considering two new, different container designs for a kitchen cleaning product. A pilot study was conducted by placing both containers of the product on sale at the same price in a sample of 10 retail stores for a fixed period of time. The numbers of items of the product sold were recorded for each container design.</t>
  </si>
  <si>
    <t>Variable</t>
  </si>
  <si>
    <t>Description</t>
  </si>
  <si>
    <t>store identification number (1 – 10)</t>
  </si>
  <si>
    <t>number of items sold, Container Design 1</t>
  </si>
  <si>
    <t>number of items sold, Container Design 2</t>
  </si>
  <si>
    <t>A one-tailed paired t-test to determine whether Container Design 1 leads to higher sales would be significant. Since the mean sales for Design 1 (172.6) exceed those for Design 2 (159.4), and the paired t-test gives t(9) = 2.875 with one-tailed p ≈ 0.009, we reject the null hypothesis at the 5% level and conclude that Container Design 1 sells significantly more units than Container Design 2 in these stores.</t>
  </si>
  <si>
    <t>One-tailed p-value (LEFT-tailed): Test if Container Design 1 sells more (Con1 &gt; Con2)</t>
  </si>
  <si>
    <t>One-tailed p-value (RIGHT-tailed): Test if Container Design 2 sells more (Con2 &gt; Con1)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</si>
</sst>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MS Sans Serif"/>
      <family val="2"/>
    </font>
    <font>
      <i/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D15" sqref="D15"/>
    </sheetView>
  </sheetViews>
  <sheetFormatPr defaultRowHeight="13.2" x14ac:dyDescent="0.25"/>
  <cols>
    <col min="4" max="4" width="11.109375" bestFit="1" customWidth="1"/>
    <col min="7" max="7" width="31.44140625" customWidth="1"/>
    <col min="8" max="9" width="12" customWidth="1"/>
    <col min="10" max="10" width="8.88671875" customWidth="1"/>
    <col min="12" max="12" width="73" bestFit="1" customWidth="1"/>
    <col min="14" max="14" width="46.88671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9" t="s">
        <v>16</v>
      </c>
      <c r="E1" s="7"/>
      <c r="F1" s="7"/>
      <c r="G1" s="8" t="s">
        <v>3</v>
      </c>
      <c r="L1" s="15" t="s">
        <v>17</v>
      </c>
    </row>
    <row r="2" spans="1:14" ht="13.8" thickBot="1" x14ac:dyDescent="0.3">
      <c r="A2" s="2">
        <v>1</v>
      </c>
      <c r="B2" s="2">
        <v>141</v>
      </c>
      <c r="C2" s="2">
        <v>118</v>
      </c>
      <c r="D2">
        <f>C2-B2</f>
        <v>-23</v>
      </c>
    </row>
    <row r="3" spans="1:14" x14ac:dyDescent="0.25">
      <c r="A3" s="2">
        <v>2</v>
      </c>
      <c r="B3" s="2">
        <v>184</v>
      </c>
      <c r="C3" s="2">
        <v>167</v>
      </c>
      <c r="D3">
        <f t="shared" ref="D3:D11" si="0">C3-B3</f>
        <v>-17</v>
      </c>
      <c r="G3" s="5"/>
      <c r="H3" s="5" t="s">
        <v>1</v>
      </c>
      <c r="I3" s="5" t="s">
        <v>2</v>
      </c>
    </row>
    <row r="4" spans="1:14" x14ac:dyDescent="0.25">
      <c r="A4" s="2">
        <v>3</v>
      </c>
      <c r="B4" s="2">
        <v>132</v>
      </c>
      <c r="C4" s="2">
        <v>137</v>
      </c>
      <c r="D4">
        <f t="shared" si="0"/>
        <v>5</v>
      </c>
      <c r="G4" s="3" t="s">
        <v>4</v>
      </c>
      <c r="H4" s="3">
        <v>172.6</v>
      </c>
      <c r="I4" s="3">
        <v>159.4</v>
      </c>
      <c r="L4" s="6" t="s">
        <v>6</v>
      </c>
      <c r="M4">
        <f>COUNT(D2:D11)</f>
        <v>10</v>
      </c>
    </row>
    <row r="5" spans="1:14" x14ac:dyDescent="0.25">
      <c r="A5" s="2">
        <v>4</v>
      </c>
      <c r="B5" s="2">
        <v>161</v>
      </c>
      <c r="C5" s="2">
        <v>168</v>
      </c>
      <c r="D5">
        <f t="shared" si="0"/>
        <v>7</v>
      </c>
      <c r="G5" s="3" t="s">
        <v>5</v>
      </c>
      <c r="H5" s="3">
        <v>750.26666666666927</v>
      </c>
      <c r="I5" s="3">
        <v>789.37777777777717</v>
      </c>
      <c r="L5" s="6" t="s">
        <v>18</v>
      </c>
      <c r="M5">
        <f>AVERAGE(D2:D11)</f>
        <v>-13.2</v>
      </c>
    </row>
    <row r="6" spans="1:14" x14ac:dyDescent="0.25">
      <c r="A6" s="2">
        <v>5</v>
      </c>
      <c r="B6" s="2">
        <v>176</v>
      </c>
      <c r="C6" s="2">
        <v>175</v>
      </c>
      <c r="D6">
        <f t="shared" si="0"/>
        <v>-1</v>
      </c>
      <c r="G6" s="3" t="s">
        <v>6</v>
      </c>
      <c r="H6" s="3">
        <v>10</v>
      </c>
      <c r="I6" s="3">
        <v>10</v>
      </c>
      <c r="L6" s="6" t="s">
        <v>19</v>
      </c>
      <c r="M6">
        <f>_xlfn.STDEV.S(D2:D11)</f>
        <v>14.520483616066114</v>
      </c>
    </row>
    <row r="7" spans="1:14" x14ac:dyDescent="0.25">
      <c r="A7" s="2">
        <v>6</v>
      </c>
      <c r="B7" s="2">
        <v>196</v>
      </c>
      <c r="C7" s="2">
        <v>197</v>
      </c>
      <c r="D7">
        <f t="shared" si="0"/>
        <v>1</v>
      </c>
      <c r="G7" s="3" t="s">
        <v>7</v>
      </c>
      <c r="H7" s="3">
        <v>0.86333500407645425</v>
      </c>
      <c r="I7" s="3"/>
      <c r="L7" s="6" t="s">
        <v>20</v>
      </c>
      <c r="M7">
        <f>_xlfn.STDEV.S(D2:D11)/SQRT(COUNT(D2:D11))</f>
        <v>4.5917800953926839</v>
      </c>
    </row>
    <row r="8" spans="1:14" x14ac:dyDescent="0.25">
      <c r="A8" s="2">
        <v>7</v>
      </c>
      <c r="B8" s="2">
        <v>169</v>
      </c>
      <c r="C8" s="2">
        <v>143</v>
      </c>
      <c r="D8">
        <f t="shared" si="0"/>
        <v>-26</v>
      </c>
      <c r="G8" s="3" t="s">
        <v>8</v>
      </c>
      <c r="H8" s="3">
        <v>0</v>
      </c>
      <c r="I8" s="3"/>
      <c r="L8" s="6" t="s">
        <v>21</v>
      </c>
      <c r="M8">
        <f>AVERAGE(D2:D11)/(_xlfn.STDEV.S(D2:D11)/SQRT(COUNT(D2:D11)))</f>
        <v>-2.8747021254882523</v>
      </c>
    </row>
    <row r="9" spans="1:14" x14ac:dyDescent="0.25">
      <c r="A9" s="2">
        <v>8</v>
      </c>
      <c r="B9" s="2">
        <v>199</v>
      </c>
      <c r="C9" s="2">
        <v>169</v>
      </c>
      <c r="D9">
        <f t="shared" si="0"/>
        <v>-30</v>
      </c>
      <c r="G9" s="3" t="s">
        <v>9</v>
      </c>
      <c r="H9" s="3">
        <v>9</v>
      </c>
      <c r="I9" s="3"/>
      <c r="L9" s="6" t="s">
        <v>22</v>
      </c>
      <c r="M9">
        <f>COUNT(D2:D11)-1</f>
        <v>9</v>
      </c>
    </row>
    <row r="10" spans="1:14" x14ac:dyDescent="0.25">
      <c r="A10" s="2">
        <v>9</v>
      </c>
      <c r="B10" s="2">
        <v>150</v>
      </c>
      <c r="C10" s="2">
        <v>123</v>
      </c>
      <c r="D10">
        <f t="shared" si="0"/>
        <v>-27</v>
      </c>
      <c r="G10" s="3" t="s">
        <v>10</v>
      </c>
      <c r="H10" s="3">
        <v>2.8747021254882523</v>
      </c>
      <c r="I10" s="3"/>
      <c r="L10" s="6" t="s">
        <v>30</v>
      </c>
      <c r="M10" s="15">
        <f>_xlfn.T.DIST(M8,M9,TRUE)</f>
        <v>9.1678173875810887E-3</v>
      </c>
      <c r="N10" s="14"/>
    </row>
    <row r="11" spans="1:14" x14ac:dyDescent="0.25">
      <c r="A11" s="2">
        <v>10</v>
      </c>
      <c r="B11" s="2">
        <v>218</v>
      </c>
      <c r="C11" s="2">
        <v>197</v>
      </c>
      <c r="D11">
        <f t="shared" si="0"/>
        <v>-21</v>
      </c>
      <c r="G11" s="3" t="s">
        <v>11</v>
      </c>
      <c r="H11" s="3">
        <v>9.1678173875810887E-3</v>
      </c>
      <c r="I11" s="3"/>
      <c r="L11" s="6" t="s">
        <v>31</v>
      </c>
      <c r="M11" s="15">
        <f>_xlfn.T.DIST.RT(M8,M9)</f>
        <v>0.9908321826124189</v>
      </c>
      <c r="N11" s="14"/>
    </row>
    <row r="12" spans="1:14" ht="13.8" thickBot="1" x14ac:dyDescent="0.3">
      <c r="G12" s="3" t="s">
        <v>12</v>
      </c>
      <c r="H12" s="3">
        <v>1.8331129326562374</v>
      </c>
      <c r="I12" s="3"/>
    </row>
    <row r="13" spans="1:14" ht="119.4" thickBot="1" x14ac:dyDescent="0.3">
      <c r="G13" s="3" t="s">
        <v>13</v>
      </c>
      <c r="H13" s="3">
        <v>1.8335634775162177E-2</v>
      </c>
      <c r="I13" s="3"/>
      <c r="N13" s="13" t="s">
        <v>29</v>
      </c>
    </row>
    <row r="14" spans="1:14" ht="13.8" thickBot="1" x14ac:dyDescent="0.3">
      <c r="G14" s="4" t="s">
        <v>14</v>
      </c>
      <c r="H14" s="4">
        <v>2.2621571627982053</v>
      </c>
      <c r="I14" s="4"/>
    </row>
    <row r="16" spans="1:14" x14ac:dyDescent="0.25">
      <c r="G16" s="10" t="s">
        <v>15</v>
      </c>
      <c r="H16" s="8">
        <f>H4-I4</f>
        <v>13.199999999999989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6"/>
  <sheetViews>
    <sheetView workbookViewId="0">
      <selection activeCell="A2" sqref="A2:G7"/>
    </sheetView>
  </sheetViews>
  <sheetFormatPr defaultRowHeight="13.2" x14ac:dyDescent="0.25"/>
  <sheetData>
    <row r="2" spans="1:3" ht="14.4" x14ac:dyDescent="0.25">
      <c r="A2" s="11" t="s">
        <v>23</v>
      </c>
    </row>
    <row r="3" spans="1:3" ht="14.4" x14ac:dyDescent="0.25">
      <c r="A3" s="12" t="s">
        <v>24</v>
      </c>
      <c r="B3" s="12" t="s">
        <v>25</v>
      </c>
    </row>
    <row r="4" spans="1:3" ht="14.4" x14ac:dyDescent="0.25">
      <c r="A4" s="11" t="s">
        <v>0</v>
      </c>
      <c r="C4" s="11" t="s">
        <v>26</v>
      </c>
    </row>
    <row r="5" spans="1:3" ht="14.4" x14ac:dyDescent="0.25">
      <c r="A5" s="11" t="s">
        <v>1</v>
      </c>
      <c r="C5" s="11" t="s">
        <v>27</v>
      </c>
    </row>
    <row r="6" spans="1:3" ht="14.4" x14ac:dyDescent="0.25">
      <c r="A6" s="11" t="s">
        <v>2</v>
      </c>
      <c r="C6" s="11" t="s">
        <v>28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Description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pavlos papachristos</cp:lastModifiedBy>
  <dcterms:created xsi:type="dcterms:W3CDTF">2006-09-19T07:39:26Z</dcterms:created>
  <dcterms:modified xsi:type="dcterms:W3CDTF">2026-01-18T22:26:39Z</dcterms:modified>
</cp:coreProperties>
</file>